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k\샘플파일\"/>
    </mc:Choice>
  </mc:AlternateContent>
  <xr:revisionPtr revIDLastSave="0" documentId="8_{8301664D-805C-4D23-AAD1-FDCF93981F80}" xr6:coauthVersionLast="47" xr6:coauthVersionMax="47" xr10:uidLastSave="{00000000-0000-0000-0000-000000000000}"/>
  <bookViews>
    <workbookView xWindow="1880" yWindow="820" windowWidth="28800" windowHeight="18990" xr2:uid="{88AF1B9C-9D5B-4CA8-95C4-E655546EC246}"/>
  </bookViews>
  <sheets>
    <sheet name="종목입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B17" i="1"/>
  <c r="B16" i="1"/>
</calcChain>
</file>

<file path=xl/sharedStrings.xml><?xml version="1.0" encoding="utf-8"?>
<sst xmlns="http://schemas.openxmlformats.org/spreadsheetml/2006/main" count="21" uniqueCount="21">
  <si>
    <t>유가증권 투자신청서 - 종목 입력</t>
  </si>
  <si>
    <t>(노란 셀에 값을 입력 후 [Word 자동생성] 버튼을 클릭하세요)</t>
  </si>
  <si>
    <t>매수종목명</t>
  </si>
  <si>
    <t>iM금융지주</t>
  </si>
  <si>
    <t>매수수량(주)</t>
  </si>
  <si>
    <t>매수종가(원)</t>
  </si>
  <si>
    <t>매매금액(원)</t>
  </si>
  <si>
    <t>자기자본(억원)</t>
  </si>
  <si>
    <t>동종목 기존 보유금액(억원)</t>
  </si>
  <si>
    <t>신용등급</t>
  </si>
  <si>
    <t>AAA</t>
  </si>
  <si>
    <t>신청일자</t>
  </si>
  <si>
    <t>기준일자</t>
  </si>
  <si>
    <t>승인유효기한</t>
  </si>
  <si>
    <t>[자동계산]</t>
  </si>
  <si>
    <t>동일회사 한도(억원)</t>
  </si>
  <si>
    <t>AA-등급 이상이면 50%, 그 외 20%</t>
  </si>
  <si>
    <t>취급후 총 사용금액(억원)</t>
  </si>
  <si>
    <t>기존+본건</t>
  </si>
  <si>
    <t>적정여부</t>
  </si>
  <si>
    <t>한도 대비 검증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</si>
</sst>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i/>
      <sz val="11"/>
      <color rgb="FF80808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>
      <alignment vertical="center"/>
    </xf>
    <xf numFmtId="0" fontId="0" fillId="3" borderId="1" xfId="0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B95A-1FCF-4B1C-8A01-F1C866E6C8ED}">
  <dimension ref="A1:C18"/>
  <sheetViews>
    <sheetView tabSelected="1" workbookViewId="0"/>
  </sheetViews>
  <sheetFormatPr defaultRowHeight="17" x14ac:dyDescent="0.45"/>
  <cols>
    <col min="1" max="1" width="28.58203125" customWidth="1"/>
    <col min="2" max="2" width="22.58203125" customWidth="1"/>
    <col min="3" max="3" width="35.58203125" customWidth="1"/>
  </cols>
  <sheetData>
    <row r="1" spans="1:3" ht="25.5" x14ac:dyDescent="0.45">
      <c r="A1" s="2" t="s">
        <v>0</v>
      </c>
      <c r="B1" s="1"/>
      <c r="C1" s="1"/>
    </row>
    <row r="2" spans="1:3" x14ac:dyDescent="0.45">
      <c r="A2" s="3" t="s">
        <v>1</v>
      </c>
      <c r="B2" s="1"/>
      <c r="C2" s="1"/>
    </row>
    <row r="4" spans="1:3" x14ac:dyDescent="0.45">
      <c r="A4" s="4" t="s">
        <v>2</v>
      </c>
      <c r="B4" s="7" t="s">
        <v>3</v>
      </c>
      <c r="C4" s="5"/>
    </row>
    <row r="5" spans="1:3" x14ac:dyDescent="0.45">
      <c r="A5" s="4" t="s">
        <v>4</v>
      </c>
      <c r="B5" s="11">
        <v>718232</v>
      </c>
      <c r="C5" s="5"/>
    </row>
    <row r="6" spans="1:3" x14ac:dyDescent="0.45">
      <c r="A6" s="4" t="s">
        <v>5</v>
      </c>
      <c r="B6" s="11">
        <v>18100</v>
      </c>
      <c r="C6" s="5"/>
    </row>
    <row r="7" spans="1:3" x14ac:dyDescent="0.45">
      <c r="A7" s="4" t="s">
        <v>6</v>
      </c>
      <c r="B7" s="11">
        <v>13000000000</v>
      </c>
      <c r="C7" s="5"/>
    </row>
    <row r="8" spans="1:3" x14ac:dyDescent="0.45">
      <c r="A8" s="4" t="s">
        <v>7</v>
      </c>
      <c r="B8" s="12">
        <v>3530</v>
      </c>
      <c r="C8" s="5"/>
    </row>
    <row r="9" spans="1:3" x14ac:dyDescent="0.45">
      <c r="A9" s="4" t="s">
        <v>8</v>
      </c>
      <c r="B9" s="12">
        <v>753.2</v>
      </c>
      <c r="C9" s="5"/>
    </row>
    <row r="10" spans="1:3" x14ac:dyDescent="0.45">
      <c r="A10" s="4" t="s">
        <v>9</v>
      </c>
      <c r="B10" s="7" t="s">
        <v>10</v>
      </c>
      <c r="C10" s="5"/>
    </row>
    <row r="11" spans="1:3" x14ac:dyDescent="0.45">
      <c r="A11" s="4" t="s">
        <v>11</v>
      </c>
      <c r="B11" s="8">
        <v>46084</v>
      </c>
      <c r="C11" s="5"/>
    </row>
    <row r="12" spans="1:3" x14ac:dyDescent="0.45">
      <c r="A12" s="4" t="s">
        <v>12</v>
      </c>
      <c r="B12" s="8">
        <v>46084</v>
      </c>
      <c r="C12" s="5"/>
    </row>
    <row r="13" spans="1:3" x14ac:dyDescent="0.45">
      <c r="A13" s="4" t="s">
        <v>13</v>
      </c>
      <c r="B13" s="8">
        <v>46112</v>
      </c>
      <c r="C13" s="5"/>
    </row>
    <row r="14" spans="1:3" x14ac:dyDescent="0.45">
      <c r="A14" s="5"/>
      <c r="B14" s="9"/>
      <c r="C14" s="5"/>
    </row>
    <row r="15" spans="1:3" x14ac:dyDescent="0.45">
      <c r="A15" s="6" t="s">
        <v>14</v>
      </c>
      <c r="B15" s="10"/>
      <c r="C15" s="6"/>
    </row>
    <row r="16" spans="1:3" x14ac:dyDescent="0.45">
      <c r="A16" s="5" t="s">
        <v>15</v>
      </c>
      <c r="B16" s="13">
        <f>IF(OR(B10="AAA",B10="AA+",B10="AA",B10="AA-"),B8*0.5,B8*0.2)</f>
        <v>1765</v>
      </c>
      <c r="C16" s="5" t="s">
        <v>16</v>
      </c>
    </row>
    <row r="17" spans="1:3" x14ac:dyDescent="0.45">
      <c r="A17" s="5" t="s">
        <v>17</v>
      </c>
      <c r="B17" s="13">
        <f>B9+B7/100000000</f>
        <v>883.2</v>
      </c>
      <c r="C17" s="5" t="s">
        <v>18</v>
      </c>
    </row>
    <row r="18" spans="1:3" x14ac:dyDescent="0.45">
      <c r="A18" s="5" t="s">
        <v>19</v>
      </c>
      <c r="B18" s="9" t="str">
        <f>IF(B17&lt;=B16,"적정","한도초과")</f>
        <v>적정</v>
      </c>
      <c r="C18" s="5" t="s">
        <v>20</v>
      </c>
    </row>
  </sheetData>
  <mergeCells count="3">
    <mergeCell ref="A1:C1"/>
    <mergeCell ref="A2:C2"/>
    <mergeCell ref="A15:C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종목입력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용승 윤</dc:creator>
  <cp:lastModifiedBy>용승 윤</cp:lastModifiedBy>
  <dcterms:created xsi:type="dcterms:W3CDTF">2026-05-09T06:28:38Z</dcterms:created>
  <dcterms:modified xsi:type="dcterms:W3CDTF">2026-05-09T06:28:39Z</dcterms:modified>
</cp:coreProperties>
</file>